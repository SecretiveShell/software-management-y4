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 showInkAnnotation="0" autoCompressPictures="0"/>
  <xr:revisionPtr revIDLastSave="0" documentId="8_{3D11F975-67C6-4D15-9313-EED455EDFE3C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  <sheet name="Sheet2" sheetId="2" r:id="rId2"/>
    <sheet name="Sheet3" sheetId="3" r:id="rId3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1" l="1"/>
  <c r="H16" i="1"/>
  <c r="G15" i="1"/>
  <c r="G17" i="1" s="1"/>
  <c r="F15" i="1"/>
  <c r="F17" i="1" s="1"/>
  <c r="E15" i="1"/>
  <c r="E17" i="1" s="1"/>
  <c r="D15" i="1"/>
  <c r="D17" i="1" s="1"/>
  <c r="C15" i="1"/>
  <c r="H14" i="1"/>
  <c r="B9" i="1"/>
  <c r="H8" i="1"/>
  <c r="H7" i="1"/>
  <c r="G6" i="1"/>
  <c r="F6" i="1"/>
  <c r="E6" i="1"/>
  <c r="D6" i="1"/>
  <c r="C6" i="1"/>
  <c r="H6" i="1" s="1"/>
  <c r="H5" i="1"/>
  <c r="G4" i="1"/>
  <c r="F4" i="1"/>
  <c r="E4" i="1"/>
  <c r="D4" i="1"/>
  <c r="C4" i="1"/>
  <c r="H3" i="1"/>
  <c r="C9" i="1" l="1"/>
  <c r="C10" i="1" s="1"/>
  <c r="H4" i="1"/>
  <c r="D9" i="1"/>
  <c r="D10" i="1" s="1"/>
  <c r="E9" i="1"/>
  <c r="E10" i="1" s="1"/>
  <c r="F9" i="1"/>
  <c r="F10" i="1" s="1"/>
  <c r="G9" i="1"/>
  <c r="G10" i="1" s="1"/>
  <c r="B10" i="1"/>
  <c r="B11" i="1" s="1"/>
  <c r="H9" i="1"/>
  <c r="C17" i="1"/>
  <c r="H15" i="1"/>
  <c r="H17" i="1" s="1"/>
  <c r="D21" i="1"/>
  <c r="E21" i="1"/>
  <c r="F21" i="1"/>
  <c r="G21" i="1"/>
  <c r="B21" i="1"/>
  <c r="B18" i="1"/>
  <c r="B22" i="1" l="1"/>
  <c r="C21" i="1"/>
  <c r="C18" i="1"/>
  <c r="D18" i="1" s="1"/>
  <c r="E18" i="1" s="1"/>
  <c r="F18" i="1" s="1"/>
  <c r="G18" i="1" s="1"/>
  <c r="H10" i="1"/>
  <c r="C11" i="1"/>
  <c r="D11" i="1" s="1"/>
  <c r="E11" i="1" s="1"/>
  <c r="F11" i="1" s="1"/>
  <c r="G11" i="1" s="1"/>
  <c r="C22" i="1" l="1"/>
  <c r="D22" i="1" s="1"/>
  <c r="E22" i="1" s="1"/>
  <c r="F22" i="1" s="1"/>
  <c r="G22" i="1" s="1"/>
  <c r="H21" i="1"/>
</calcChain>
</file>

<file path=xl/sharedStrings.xml><?xml version="1.0" encoding="utf-8"?>
<sst xmlns="http://schemas.openxmlformats.org/spreadsheetml/2006/main" count="50" uniqueCount="33">
  <si>
    <t>Start-up</t>
  </si>
  <si>
    <t>Year 1</t>
  </si>
  <si>
    <t>Year 2</t>
  </si>
  <si>
    <t>Year 3</t>
  </si>
  <si>
    <t>Year 4</t>
  </si>
  <si>
    <t>Year 5</t>
  </si>
  <si>
    <t>Totals</t>
  </si>
  <si>
    <t>Notes</t>
  </si>
  <si>
    <t>Costs</t>
  </si>
  <si>
    <t>Initial Development Cost</t>
  </si>
  <si>
    <t>Server Hosting</t>
  </si>
  <si>
    <t>https://www.hetzner.com/dedicated-rootserver/ex63/configurator/</t>
  </si>
  <si>
    <t>IT Administrator</t>
  </si>
  <si>
    <t>https://uk.indeed.com/career/it-administrator/salaries</t>
  </si>
  <si>
    <t>GPT-6-tokens</t>
  </si>
  <si>
    <t>https://www.hej.chat/articles/what-it-actually-costs-to-run-ai-in-production</t>
  </si>
  <si>
    <t>Grafana Cloud Pro</t>
  </si>
  <si>
    <t>https://grafana.com/pricing/</t>
  </si>
  <si>
    <t>Training &amp; Change Management</t>
  </si>
  <si>
    <t>Assumption: £5,000 initial rollout/training, then £1,000/year refresher/process overhead.</t>
  </si>
  <si>
    <t>Contingency (15% non-staff ops)</t>
  </si>
  <si>
    <t>15% contingency on hosting, AI API, monitoring and training/change-management costs.</t>
  </si>
  <si>
    <t>Total</t>
  </si>
  <si>
    <t>Cummulative Total</t>
  </si>
  <si>
    <t>Benefits</t>
  </si>
  <si>
    <t>Revenue</t>
  </si>
  <si>
    <t>Savings</t>
  </si>
  <si>
    <t>Savings vs 50 person support team baseline costs</t>
  </si>
  <si>
    <t>Other</t>
  </si>
  <si>
    <t>Cumulative Total</t>
  </si>
  <si>
    <t>Return on Investment</t>
  </si>
  <si>
    <t>Yearly</t>
  </si>
  <si>
    <t>Cumulative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</si>
</sst>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_ ;[Red]\-0.0\ "/>
    <numFmt numFmtId="165" formatCode="_-[$£-809]* #,##0.00_-;\-[$£-809]* #,##0.00_-;_-[$£-809]* &quot;-&quot;??_-;_-@_-"/>
  </numFmts>
  <fonts count="3">
    <font>
      <sz val="11"/>
      <color theme="1"/>
      <name val="Calibri"/>
    </font>
    <font>
      <b/>
      <sz val="11"/>
      <color theme="1"/>
      <name val="Calibri"/>
    </font>
    <font>
      <sz val="11"/>
      <color theme="1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2" borderId="0" xfId="0" applyFill="1"/>
    <xf numFmtId="0" fontId="1" fillId="2" borderId="0" xfId="0" applyFont="1" applyFill="1"/>
    <xf numFmtId="164" fontId="0" fillId="0" borderId="0" xfId="0" applyNumberFormat="1"/>
    <xf numFmtId="0" fontId="2" fillId="0" borderId="0" xfId="1"/>
    <xf numFmtId="165" fontId="1" fillId="2" borderId="0" xfId="0" applyNumberFormat="1" applyFont="1" applyFill="1"/>
    <xf numFmtId="165" fontId="0" fillId="2" borderId="0" xfId="0" applyNumberFormat="1" applyFill="1"/>
    <xf numFmtId="165" fontId="0" fillId="0" borderId="0" xfId="0" applyNumberFormat="1"/>
  </cellXfs>
  <cellStyles count="2">
    <cellStyle name="Hyperlink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hej.chat/articles/what-it-actually-costs-to-run-ai-in-production" TargetMode="External"/><Relationship Id="rId2" Type="http://schemas.openxmlformats.org/officeDocument/2006/relationships/hyperlink" Target="https://uk.indeed.com/career/it-administrator/salaries" TargetMode="External"/><Relationship Id="rId1" Type="http://schemas.openxmlformats.org/officeDocument/2006/relationships/hyperlink" Target="https://www.hetzner.com/dedicated-rootserver/ex63/configurator/" TargetMode="External"/><Relationship Id="rId4" Type="http://schemas.openxmlformats.org/officeDocument/2006/relationships/hyperlink" Target="https://grafana.com/pricin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tabSelected="1" zoomScaleNormal="100" zoomScaleSheetLayoutView="100" workbookViewId="0">
      <selection activeCell="E36" sqref="E36"/>
    </sheetView>
  </sheetViews>
  <sheetFormatPr defaultRowHeight="14.45"/>
  <cols>
    <col min="1" max="1" width="27.42578125" customWidth="1"/>
    <col min="2" max="2" width="27.140625" customWidth="1"/>
    <col min="3" max="3" width="22" customWidth="1"/>
    <col min="4" max="5" width="25" customWidth="1"/>
    <col min="6" max="6" width="27" customWidth="1"/>
    <col min="7" max="7" width="26.140625" customWidth="1"/>
    <col min="8" max="8" width="17.42578125" customWidth="1"/>
    <col min="9" max="9" width="38.7109375" customWidth="1"/>
  </cols>
  <sheetData>
    <row r="1" spans="1:9">
      <c r="A1" s="1"/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2" t="s">
        <v>7</v>
      </c>
    </row>
    <row r="2" spans="1:9">
      <c r="A2" s="2" t="s">
        <v>8</v>
      </c>
      <c r="B2" s="6"/>
      <c r="C2" s="6"/>
      <c r="D2" s="6"/>
      <c r="E2" s="6"/>
      <c r="F2" s="6"/>
      <c r="G2" s="6"/>
      <c r="H2" s="6"/>
    </row>
    <row r="3" spans="1:9">
      <c r="A3" t="s">
        <v>9</v>
      </c>
      <c r="B3" s="7">
        <v>15000</v>
      </c>
      <c r="C3" s="7">
        <v>0</v>
      </c>
      <c r="D3" s="7">
        <v>0</v>
      </c>
      <c r="E3" s="7">
        <v>0</v>
      </c>
      <c r="F3" s="7">
        <v>0</v>
      </c>
      <c r="G3" s="7">
        <v>0</v>
      </c>
      <c r="H3" s="6">
        <f>SUM(B3:G3)</f>
        <v>15000</v>
      </c>
    </row>
    <row r="4" spans="1:9" ht="15">
      <c r="A4" t="s">
        <v>10</v>
      </c>
      <c r="B4" s="7">
        <v>75.92</v>
      </c>
      <c r="C4" s="7">
        <f>SUM(12*157.17)</f>
        <v>1886.04</v>
      </c>
      <c r="D4" s="7">
        <f t="shared" ref="D4:F4" si="0">SUM(12*157.17)</f>
        <v>1886.04</v>
      </c>
      <c r="E4" s="7">
        <f t="shared" si="0"/>
        <v>1886.04</v>
      </c>
      <c r="F4" s="7">
        <f t="shared" si="0"/>
        <v>1886.04</v>
      </c>
      <c r="G4" s="7">
        <f>SUM(12*157.17)</f>
        <v>1886.04</v>
      </c>
      <c r="H4" s="6">
        <f>SUM(C4:G4)</f>
        <v>9430.2000000000007</v>
      </c>
      <c r="I4" s="4" t="s">
        <v>11</v>
      </c>
    </row>
    <row r="5" spans="1:9" ht="15">
      <c r="A5" t="s">
        <v>12</v>
      </c>
      <c r="B5" s="7">
        <v>0</v>
      </c>
      <c r="C5" s="7">
        <v>29205</v>
      </c>
      <c r="D5" s="7">
        <v>29205</v>
      </c>
      <c r="E5" s="7">
        <v>29205</v>
      </c>
      <c r="F5" s="7">
        <v>29205</v>
      </c>
      <c r="G5" s="7">
        <v>29205</v>
      </c>
      <c r="H5" s="6">
        <f t="shared" ref="H5:H8" si="1">SUM(B5:G5)</f>
        <v>146025</v>
      </c>
      <c r="I5" s="4" t="s">
        <v>13</v>
      </c>
    </row>
    <row r="6" spans="1:9" ht="15">
      <c r="A6" t="s">
        <v>14</v>
      </c>
      <c r="B6" s="7">
        <v>0</v>
      </c>
      <c r="C6" s="7">
        <f>250*365*((10000*0.98/1000000)*0.1+(10000*0.02/1000000)*0.5)*0.755</f>
        <v>74.405249999999995</v>
      </c>
      <c r="D6" s="7">
        <f t="shared" ref="D6:G6" si="2">250*365*((10000*0.98/1000000)*0.1+(10000*0.02/1000000)*0.5)*0.755</f>
        <v>74.405249999999995</v>
      </c>
      <c r="E6" s="7">
        <f t="shared" si="2"/>
        <v>74.405249999999995</v>
      </c>
      <c r="F6" s="7">
        <f t="shared" si="2"/>
        <v>74.405249999999995</v>
      </c>
      <c r="G6" s="7">
        <f t="shared" si="2"/>
        <v>74.405249999999995</v>
      </c>
      <c r="H6" s="6">
        <f t="shared" si="1"/>
        <v>372.02625</v>
      </c>
      <c r="I6" s="4" t="s">
        <v>15</v>
      </c>
    </row>
    <row r="7" spans="1:9" ht="15">
      <c r="A7" t="s">
        <v>16</v>
      </c>
      <c r="B7" s="7">
        <v>0</v>
      </c>
      <c r="C7" s="7">
        <v>335.99160000000001</v>
      </c>
      <c r="D7" s="7">
        <v>335.99160000000001</v>
      </c>
      <c r="E7" s="7">
        <v>335.99160000000001</v>
      </c>
      <c r="F7" s="7">
        <v>335.99160000000001</v>
      </c>
      <c r="G7" s="7">
        <v>335.99160000000001</v>
      </c>
      <c r="H7" s="6">
        <f t="shared" si="1"/>
        <v>1679.9580000000001</v>
      </c>
      <c r="I7" s="4" t="s">
        <v>17</v>
      </c>
    </row>
    <row r="8" spans="1:9">
      <c r="A8" t="s">
        <v>18</v>
      </c>
      <c r="B8" s="7">
        <v>5000</v>
      </c>
      <c r="C8" s="7">
        <v>1000</v>
      </c>
      <c r="D8" s="7">
        <v>1000</v>
      </c>
      <c r="E8" s="7">
        <v>1000</v>
      </c>
      <c r="F8" s="7">
        <v>1000</v>
      </c>
      <c r="G8" s="7">
        <v>1000</v>
      </c>
      <c r="H8" s="6">
        <f t="shared" si="1"/>
        <v>10000</v>
      </c>
      <c r="I8" t="s">
        <v>19</v>
      </c>
    </row>
    <row r="9" spans="1:9">
      <c r="A9" t="s">
        <v>20</v>
      </c>
      <c r="B9" s="7">
        <f>0.15*(B4+B6+B7+B8)</f>
        <v>761.38800000000003</v>
      </c>
      <c r="C9" s="7">
        <f>0.15*(C4+C6+C7+C8)</f>
        <v>494.46552750000001</v>
      </c>
      <c r="D9" s="7">
        <f>0.15*(D4+D6+D7+D8)</f>
        <v>494.46552750000001</v>
      </c>
      <c r="E9" s="7">
        <f>0.15*(E4+E6+E7+E8)</f>
        <v>494.46552750000001</v>
      </c>
      <c r="F9" s="7">
        <f>0.15*(F4+F6+F7+F8)</f>
        <v>494.46552750000001</v>
      </c>
      <c r="G9" s="7">
        <f>0.15*(G4+G6+G7+G8)</f>
        <v>494.46552750000001</v>
      </c>
      <c r="H9" s="6">
        <f>SUM(B9:G9)</f>
        <v>3233.7156375</v>
      </c>
      <c r="I9" t="s">
        <v>21</v>
      </c>
    </row>
    <row r="10" spans="1:9">
      <c r="A10" s="1" t="s">
        <v>22</v>
      </c>
      <c r="B10" s="6">
        <f>SUM(B3:B9)</f>
        <v>20837.307999999997</v>
      </c>
      <c r="C10" s="6">
        <f t="shared" ref="C10:H10" si="3">SUM(C3:C9)</f>
        <v>32995.902377500002</v>
      </c>
      <c r="D10" s="6">
        <f>SUM(D3:D9)</f>
        <v>32995.902377500002</v>
      </c>
      <c r="E10" s="6">
        <f t="shared" si="3"/>
        <v>32995.902377500002</v>
      </c>
      <c r="F10" s="6">
        <f t="shared" si="3"/>
        <v>32995.902377500002</v>
      </c>
      <c r="G10" s="6">
        <f t="shared" si="3"/>
        <v>32995.902377500002</v>
      </c>
      <c r="H10" s="6">
        <f t="shared" si="3"/>
        <v>185740.89988750001</v>
      </c>
    </row>
    <row r="11" spans="1:9">
      <c r="A11" s="1" t="s">
        <v>23</v>
      </c>
      <c r="B11" s="6">
        <f>B10</f>
        <v>20837.307999999997</v>
      </c>
      <c r="C11" s="6">
        <f>C10+B11</f>
        <v>53833.2103775</v>
      </c>
      <c r="D11" s="6">
        <f t="shared" ref="D11:G11" si="4">D10+C11</f>
        <v>86829.112755000009</v>
      </c>
      <c r="E11" s="6">
        <f t="shared" si="4"/>
        <v>119825.0151325</v>
      </c>
      <c r="F11" s="6">
        <f t="shared" si="4"/>
        <v>152820.91751</v>
      </c>
      <c r="G11" s="6">
        <f t="shared" si="4"/>
        <v>185816.81988749999</v>
      </c>
      <c r="H11" s="6"/>
    </row>
    <row r="12" spans="1:9">
      <c r="A12" s="1"/>
      <c r="B12" s="7"/>
      <c r="C12" s="7"/>
      <c r="D12" s="7"/>
      <c r="E12" s="7"/>
      <c r="F12" s="7"/>
      <c r="G12" s="7"/>
      <c r="H12" s="7"/>
    </row>
    <row r="13" spans="1:9">
      <c r="A13" s="2" t="s">
        <v>24</v>
      </c>
      <c r="B13" s="5" t="s">
        <v>0</v>
      </c>
      <c r="C13" s="5" t="s">
        <v>1</v>
      </c>
      <c r="D13" s="5" t="s">
        <v>2</v>
      </c>
      <c r="E13" s="5" t="s">
        <v>3</v>
      </c>
      <c r="F13" s="5" t="s">
        <v>4</v>
      </c>
      <c r="G13" s="5" t="s">
        <v>5</v>
      </c>
      <c r="H13" s="5" t="s">
        <v>6</v>
      </c>
      <c r="I13" s="2" t="s">
        <v>7</v>
      </c>
    </row>
    <row r="14" spans="1:9">
      <c r="A14" s="1" t="s">
        <v>25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6">
        <f>SUM(B14:G14)</f>
        <v>0</v>
      </c>
    </row>
    <row r="15" spans="1:9">
      <c r="A15" s="1" t="s">
        <v>26</v>
      </c>
      <c r="B15" s="7">
        <v>0</v>
      </c>
      <c r="C15" s="7">
        <f>12.71*8*5*52*(50-45)</f>
        <v>132184</v>
      </c>
      <c r="D15" s="7">
        <f>12.71*8*5*52*(50-30)</f>
        <v>528736</v>
      </c>
      <c r="E15" s="7">
        <f>12.71*8*5*52*(50-15)</f>
        <v>925288.00000000012</v>
      </c>
      <c r="F15" s="7">
        <f>12.71*8*5*52*(50-10)</f>
        <v>1057472</v>
      </c>
      <c r="G15" s="7">
        <f t="shared" ref="G15" si="5">12.71*8*5*52*(50-10)</f>
        <v>1057472</v>
      </c>
      <c r="H15" s="6">
        <f t="shared" ref="H15:H16" si="6">SUM(B15:G15)</f>
        <v>3701152</v>
      </c>
      <c r="I15" t="s">
        <v>27</v>
      </c>
    </row>
    <row r="16" spans="1:9">
      <c r="A16" s="1" t="s">
        <v>28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6">
        <f t="shared" si="6"/>
        <v>0</v>
      </c>
    </row>
    <row r="17" spans="1:9">
      <c r="A17" s="1" t="s">
        <v>22</v>
      </c>
      <c r="B17" s="6">
        <f>SUM(B14:B16)</f>
        <v>0</v>
      </c>
      <c r="C17" s="6">
        <f t="shared" ref="C17:H17" si="7">SUM(C14:C16)</f>
        <v>132184</v>
      </c>
      <c r="D17" s="6">
        <f t="shared" si="7"/>
        <v>528736</v>
      </c>
      <c r="E17" s="6">
        <f t="shared" si="7"/>
        <v>925288.00000000012</v>
      </c>
      <c r="F17" s="6">
        <f t="shared" si="7"/>
        <v>1057472</v>
      </c>
      <c r="G17" s="6">
        <f t="shared" si="7"/>
        <v>1057472</v>
      </c>
      <c r="H17" s="6">
        <f t="shared" si="7"/>
        <v>3701152</v>
      </c>
    </row>
    <row r="18" spans="1:9">
      <c r="A18" s="1" t="s">
        <v>29</v>
      </c>
      <c r="B18" s="6">
        <f>B17</f>
        <v>0</v>
      </c>
      <c r="C18" s="6">
        <f>C17+B18</f>
        <v>132184</v>
      </c>
      <c r="D18" s="6">
        <f t="shared" ref="D18" si="8">D17+C18</f>
        <v>660920</v>
      </c>
      <c r="E18" s="6">
        <f t="shared" ref="E18" si="9">E17+D18</f>
        <v>1586208</v>
      </c>
      <c r="F18" s="6">
        <f t="shared" ref="F18" si="10">F17+E18</f>
        <v>2643680</v>
      </c>
      <c r="G18" s="6">
        <f t="shared" ref="G18" si="11">G17+F18</f>
        <v>3701152</v>
      </c>
      <c r="H18" s="6"/>
    </row>
    <row r="19" spans="1:9">
      <c r="A19" s="1"/>
      <c r="B19" s="7"/>
      <c r="C19" s="7"/>
      <c r="D19" s="7"/>
      <c r="E19" s="7"/>
      <c r="F19" s="7"/>
      <c r="G19" s="7"/>
      <c r="H19" s="7"/>
    </row>
    <row r="20" spans="1:9">
      <c r="A20" s="2" t="s">
        <v>30</v>
      </c>
      <c r="B20" s="5" t="s">
        <v>0</v>
      </c>
      <c r="C20" s="5" t="s">
        <v>1</v>
      </c>
      <c r="D20" s="5" t="s">
        <v>2</v>
      </c>
      <c r="E20" s="5" t="s">
        <v>3</v>
      </c>
      <c r="F20" s="5" t="s">
        <v>4</v>
      </c>
      <c r="G20" s="5" t="s">
        <v>5</v>
      </c>
      <c r="H20" s="5" t="s">
        <v>6</v>
      </c>
      <c r="I20" s="2" t="s">
        <v>7</v>
      </c>
    </row>
    <row r="21" spans="1:9">
      <c r="A21" s="1" t="s">
        <v>31</v>
      </c>
      <c r="B21" s="6">
        <f>B17-B10</f>
        <v>-20837.307999999997</v>
      </c>
      <c r="C21" s="6">
        <f t="shared" ref="C21:G21" si="12">C17-C10</f>
        <v>99188.097622500005</v>
      </c>
      <c r="D21" s="6">
        <f t="shared" si="12"/>
        <v>495740.09762249998</v>
      </c>
      <c r="E21" s="6">
        <f t="shared" si="12"/>
        <v>892292.09762250015</v>
      </c>
      <c r="F21" s="6">
        <f t="shared" si="12"/>
        <v>1024476.0976225</v>
      </c>
      <c r="G21" s="6">
        <f t="shared" si="12"/>
        <v>1024476.0976225</v>
      </c>
      <c r="H21" s="6">
        <f>SUM(B21:G21)</f>
        <v>3515335.1801124997</v>
      </c>
    </row>
    <row r="22" spans="1:9">
      <c r="A22" s="1" t="s">
        <v>32</v>
      </c>
      <c r="B22" s="6">
        <f>B21</f>
        <v>-20837.307999999997</v>
      </c>
      <c r="C22" s="6">
        <f>C21+B22</f>
        <v>78350.789622500015</v>
      </c>
      <c r="D22" s="6">
        <f t="shared" ref="D22" si="13">D21+C22</f>
        <v>574090.88724499999</v>
      </c>
      <c r="E22" s="6">
        <f t="shared" ref="E22" si="14">E21+D22</f>
        <v>1466382.9848675001</v>
      </c>
      <c r="F22" s="6">
        <f t="shared" ref="F22" si="15">F21+E22</f>
        <v>2490859.0824899999</v>
      </c>
      <c r="G22" s="6">
        <f t="shared" ref="G22" si="16">G21+F22</f>
        <v>3515335.1801124997</v>
      </c>
      <c r="H22" s="6"/>
    </row>
    <row r="23" spans="1:9">
      <c r="B23" s="3"/>
      <c r="C23" s="3"/>
      <c r="D23" s="3"/>
      <c r="E23" s="3"/>
      <c r="F23" s="3"/>
      <c r="G23" s="3"/>
      <c r="H23" s="3"/>
    </row>
  </sheetData>
  <hyperlinks>
    <hyperlink ref="I4" r:id="rId1" xr:uid="{00000000-0004-0000-0000-000000000000}"/>
    <hyperlink ref="I5" r:id="rId2" xr:uid="{00000000-0004-0000-0000-000001000000}"/>
    <hyperlink ref="I6" r:id="rId3" xr:uid="{00000000-0004-0000-0000-000002000000}"/>
    <hyperlink ref="I7" r:id="rId4" xr:uid="{00000000-0004-0000-0000-000003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zoomScaleSheetLayoutView="100" workbookViewId="0"/>
  </sheetViews>
  <sheetFormatPr defaultRowHeight="14.4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zoomScaleSheetLayoutView="100" workbookViewId="0"/>
  </sheetViews>
  <sheetFormatPr defaultRowHeight="14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2026-10-07T13:20:39Z</dcterms:created>
  <dcterms:modified xsi:type="dcterms:W3CDTF">2026-10-07T13:20:39Z</dcterms:modified>
  <cp:category/>
  <cp:contentStatus/>
</cp:coreProperties>
</file>